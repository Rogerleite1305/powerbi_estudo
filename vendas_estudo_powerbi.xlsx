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ados de 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rial"/>
      <b val="1"/>
      <color rgb="00005B60"/>
      <sz val="16"/>
    </font>
    <font>
      <name val="Arial"/>
      <i val="1"/>
      <color rgb="00595959"/>
      <sz val="11"/>
    </font>
    <font>
      <name val="Arial"/>
      <b val="1"/>
      <color rgb="00005B60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5B60"/>
        <bgColor rgb="00005B60"/>
      </patternFill>
    </fill>
    <fill>
      <patternFill patternType="solid">
        <fgColor rgb="00FFFFFF"/>
        <bgColor rgb="00FFFFFF"/>
      </patternFill>
    </fill>
    <fill>
      <patternFill patternType="solid">
        <fgColor rgb="00F4FBFB"/>
        <bgColor rgb="00F4FB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4" fontId="4" fillId="4" borderId="1" pivotButton="0" quotePrefix="0" xfId="0"/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Modelo de Dados de Vendas para Estudo de Power BI</t>
        </is>
      </c>
    </row>
    <row r="2">
      <c r="A2" s="2" t="inlineStr">
        <is>
          <t>Este arquivo contém dados de vendas fictícios formatados para treinamento e modelagem no Power BI.</t>
        </is>
      </c>
    </row>
    <row r="3"/>
    <row r="4">
      <c r="A4" s="3" t="inlineStr">
        <is>
          <t>Como usar este arquivo no Power BI:</t>
        </is>
      </c>
    </row>
    <row r="5">
      <c r="A5" s="4" t="inlineStr">
        <is>
          <t>1. Suba este arquivo (.xlsx) para o seu repositório do GitHub.</t>
        </is>
      </c>
    </row>
    <row r="6">
      <c r="A6" s="4" t="inlineStr">
        <is>
          <t>2. Abra o arquivo no GitHub, clique em 'Download' ou obtenha o link direto do arquivo.</t>
        </is>
      </c>
    </row>
    <row r="7">
      <c r="A7" s="4" t="inlineStr">
        <is>
          <t>3. No Power BI Desktop, vá em 'Obter Dados' &gt; 'Web' e cole o link de download direto do arquivo.</t>
        </is>
      </c>
    </row>
    <row r="8">
      <c r="A8" s="4" t="inlineStr">
        <is>
          <t>4. No Power Query, selecione a aba 'Dados de Vendas' para começar suas análises.</t>
        </is>
      </c>
    </row>
    <row r="9">
      <c r="A9" s="4" t="inlineStr">
        <is>
          <t>5. Use as colunas 'Preço Unitário', 'Custo Unitário' e 'Quantidade' para praticar cálculos DAX (Faturamento, Margem, Lucro).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15" customWidth="1" min="5" max="5"/>
    <col width="14" customWidth="1" min="6" max="6"/>
    <col width="18" customWidth="1" min="7" max="7"/>
    <col width="18" customWidth="1" min="8" max="8"/>
    <col width="21" customWidth="1" min="9" max="9"/>
    <col width="15" customWidth="1" min="10" max="10"/>
    <col width="15" customWidth="1" min="11" max="11"/>
    <col width="15" customWidth="1" min="12" max="12"/>
    <col width="12" customWidth="1" min="13" max="13"/>
  </cols>
  <sheetData>
    <row r="1">
      <c r="A1" s="5" t="inlineStr">
        <is>
          <t>ID_Venda</t>
        </is>
      </c>
      <c r="B1" s="5" t="inlineStr">
        <is>
          <t>Data</t>
        </is>
      </c>
      <c r="C1" s="5" t="inlineStr">
        <is>
          <t>ID_Cliente</t>
        </is>
      </c>
      <c r="D1" s="5" t="inlineStr">
        <is>
          <t>Produto</t>
        </is>
      </c>
      <c r="E1" s="5" t="inlineStr">
        <is>
          <t>Categoria</t>
        </is>
      </c>
      <c r="F1" s="5" t="inlineStr">
        <is>
          <t>Quantidade</t>
        </is>
      </c>
      <c r="G1" s="5" t="inlineStr">
        <is>
          <t>Preco_Unitario</t>
        </is>
      </c>
      <c r="H1" s="5" t="inlineStr">
        <is>
          <t>Custo_Unitario</t>
        </is>
      </c>
      <c r="I1" s="5" t="inlineStr">
        <is>
          <t>Faturamento_Total</t>
        </is>
      </c>
      <c r="J1" s="5" t="inlineStr">
        <is>
          <t>Custo_Total</t>
        </is>
      </c>
      <c r="K1" s="5" t="inlineStr">
        <is>
          <t>Lucro_Total</t>
        </is>
      </c>
      <c r="L1" s="5" t="inlineStr">
        <is>
          <t>Canal_Venda</t>
        </is>
      </c>
      <c r="M1" s="5" t="inlineStr">
        <is>
          <t>Estado</t>
        </is>
      </c>
    </row>
    <row r="2">
      <c r="A2" s="6" t="n">
        <v>1</v>
      </c>
      <c r="B2" s="6" t="inlineStr">
        <is>
          <t>2026-01-10</t>
        </is>
      </c>
      <c r="C2" s="6" t="inlineStr">
        <is>
          <t>C101</t>
        </is>
      </c>
      <c r="D2" s="7" t="inlineStr">
        <is>
          <t>Notebook Pro</t>
        </is>
      </c>
      <c r="E2" s="7" t="inlineStr">
        <is>
          <t>Eletrônicos</t>
        </is>
      </c>
      <c r="F2" s="8" t="n">
        <v>1</v>
      </c>
      <c r="G2" s="9" t="n">
        <v>4500</v>
      </c>
      <c r="H2" s="9" t="n">
        <v>3100</v>
      </c>
      <c r="I2" s="9">
        <f>F2*G2</f>
        <v/>
      </c>
      <c r="J2" s="9">
        <f>F2*H2</f>
        <v/>
      </c>
      <c r="K2" s="9">
        <f>I2-J2</f>
        <v/>
      </c>
      <c r="L2" s="6" t="inlineStr">
        <is>
          <t>Online</t>
        </is>
      </c>
      <c r="M2" s="6" t="inlineStr">
        <is>
          <t>SP</t>
        </is>
      </c>
    </row>
    <row r="3">
      <c r="A3" s="10" t="n">
        <v>2</v>
      </c>
      <c r="B3" s="10" t="inlineStr">
        <is>
          <t>2026-01-11</t>
        </is>
      </c>
      <c r="C3" s="10" t="inlineStr">
        <is>
          <t>C102</t>
        </is>
      </c>
      <c r="D3" s="11" t="inlineStr">
        <is>
          <t>Smartphone X</t>
        </is>
      </c>
      <c r="E3" s="11" t="inlineStr">
        <is>
          <t>Eletrônicos</t>
        </is>
      </c>
      <c r="F3" s="12" t="n">
        <v>2</v>
      </c>
      <c r="G3" s="13" t="n">
        <v>2500</v>
      </c>
      <c r="H3" s="13" t="n">
        <v>1700</v>
      </c>
      <c r="I3" s="13">
        <f>F3*G3</f>
        <v/>
      </c>
      <c r="J3" s="13">
        <f>F3*H3</f>
        <v/>
      </c>
      <c r="K3" s="13">
        <f>I3-J3</f>
        <v/>
      </c>
      <c r="L3" s="10" t="inlineStr">
        <is>
          <t>Loja Física</t>
        </is>
      </c>
      <c r="M3" s="10" t="inlineStr">
        <is>
          <t>RJ</t>
        </is>
      </c>
    </row>
    <row r="4">
      <c r="A4" s="6" t="n">
        <v>3</v>
      </c>
      <c r="B4" s="6" t="inlineStr">
        <is>
          <t>2026-01-12</t>
        </is>
      </c>
      <c r="C4" s="6" t="inlineStr">
        <is>
          <t>C103</t>
        </is>
      </c>
      <c r="D4" s="7" t="inlineStr">
        <is>
          <t>Cadeira Ergonômica</t>
        </is>
      </c>
      <c r="E4" s="7" t="inlineStr">
        <is>
          <t>Móveis</t>
        </is>
      </c>
      <c r="F4" s="8" t="n">
        <v>3</v>
      </c>
      <c r="G4" s="9" t="n">
        <v>850</v>
      </c>
      <c r="H4" s="9" t="n">
        <v>550</v>
      </c>
      <c r="I4" s="9">
        <f>F4*G4</f>
        <v/>
      </c>
      <c r="J4" s="9">
        <f>F4*H4</f>
        <v/>
      </c>
      <c r="K4" s="9">
        <f>I4-J4</f>
        <v/>
      </c>
      <c r="L4" s="6" t="inlineStr">
        <is>
          <t>Online</t>
        </is>
      </c>
      <c r="M4" s="6" t="inlineStr">
        <is>
          <t>MG</t>
        </is>
      </c>
    </row>
    <row r="5">
      <c r="A5" s="10" t="n">
        <v>4</v>
      </c>
      <c r="B5" s="10" t="inlineStr">
        <is>
          <t>2026-01-12</t>
        </is>
      </c>
      <c r="C5" s="10" t="inlineStr">
        <is>
          <t>C101</t>
        </is>
      </c>
      <c r="D5" s="11" t="inlineStr">
        <is>
          <t>Monitor 27</t>
        </is>
      </c>
      <c r="E5" s="11" t="inlineStr">
        <is>
          <t>Eletrônicos</t>
        </is>
      </c>
      <c r="F5" s="12" t="n">
        <v>1</v>
      </c>
      <c r="G5" s="13" t="n">
        <v>1200</v>
      </c>
      <c r="H5" s="13" t="n">
        <v>800</v>
      </c>
      <c r="I5" s="13">
        <f>F5*G5</f>
        <v/>
      </c>
      <c r="J5" s="13">
        <f>F5*H5</f>
        <v/>
      </c>
      <c r="K5" s="13">
        <f>I5-J5</f>
        <v/>
      </c>
      <c r="L5" s="10" t="inlineStr">
        <is>
          <t>Online</t>
        </is>
      </c>
      <c r="M5" s="10" t="inlineStr">
        <is>
          <t>SP</t>
        </is>
      </c>
    </row>
    <row r="6">
      <c r="A6" s="6" t="n">
        <v>5</v>
      </c>
      <c r="B6" s="6" t="inlineStr">
        <is>
          <t>2026-01-14</t>
        </is>
      </c>
      <c r="C6" s="6" t="inlineStr">
        <is>
          <t>C104</t>
        </is>
      </c>
      <c r="D6" s="7" t="inlineStr">
        <is>
          <t>Teclado Mecânico</t>
        </is>
      </c>
      <c r="E6" s="7" t="inlineStr">
        <is>
          <t>Acessórios</t>
        </is>
      </c>
      <c r="F6" s="8" t="n">
        <v>5</v>
      </c>
      <c r="G6" s="9" t="n">
        <v>350</v>
      </c>
      <c r="H6" s="9" t="n">
        <v>200</v>
      </c>
      <c r="I6" s="9">
        <f>F6*G6</f>
        <v/>
      </c>
      <c r="J6" s="9">
        <f>F6*H6</f>
        <v/>
      </c>
      <c r="K6" s="9">
        <f>I6-J6</f>
        <v/>
      </c>
      <c r="L6" s="6" t="inlineStr">
        <is>
          <t>Loja Física</t>
        </is>
      </c>
      <c r="M6" s="6" t="inlineStr">
        <is>
          <t>PR</t>
        </is>
      </c>
    </row>
    <row r="7">
      <c r="A7" s="10" t="n">
        <v>6</v>
      </c>
      <c r="B7" s="10" t="inlineStr">
        <is>
          <t>2026-01-15</t>
        </is>
      </c>
      <c r="C7" s="10" t="inlineStr">
        <is>
          <t>C105</t>
        </is>
      </c>
      <c r="D7" s="11" t="inlineStr">
        <is>
          <t>Mouse Sem Fio</t>
        </is>
      </c>
      <c r="E7" s="11" t="inlineStr">
        <is>
          <t>Acessórios</t>
        </is>
      </c>
      <c r="F7" s="12" t="n">
        <v>10</v>
      </c>
      <c r="G7" s="13" t="n">
        <v>150</v>
      </c>
      <c r="H7" s="13" t="n">
        <v>80</v>
      </c>
      <c r="I7" s="13">
        <f>F7*G7</f>
        <v/>
      </c>
      <c r="J7" s="13">
        <f>F7*H7</f>
        <v/>
      </c>
      <c r="K7" s="13">
        <f>I7-J7</f>
        <v/>
      </c>
      <c r="L7" s="10" t="inlineStr">
        <is>
          <t>Online</t>
        </is>
      </c>
      <c r="M7" s="10" t="inlineStr">
        <is>
          <t>SC</t>
        </is>
      </c>
    </row>
    <row r="8">
      <c r="A8" s="6" t="n">
        <v>7</v>
      </c>
      <c r="B8" s="6" t="inlineStr">
        <is>
          <t>2026-01-15</t>
        </is>
      </c>
      <c r="C8" s="6" t="inlineStr">
        <is>
          <t>C102</t>
        </is>
      </c>
      <c r="D8" s="7" t="inlineStr">
        <is>
          <t>Mesa de Escritório</t>
        </is>
      </c>
      <c r="E8" s="7" t="inlineStr">
        <is>
          <t>Móveis</t>
        </is>
      </c>
      <c r="F8" s="8" t="n">
        <v>1</v>
      </c>
      <c r="G8" s="9" t="n">
        <v>1200</v>
      </c>
      <c r="H8" s="9" t="n">
        <v>900</v>
      </c>
      <c r="I8" s="9">
        <f>F8*G8</f>
        <v/>
      </c>
      <c r="J8" s="9">
        <f>F8*H8</f>
        <v/>
      </c>
      <c r="K8" s="9">
        <f>I8-J8</f>
        <v/>
      </c>
      <c r="L8" s="6" t="inlineStr">
        <is>
          <t>Loja Física</t>
        </is>
      </c>
      <c r="M8" s="6" t="inlineStr">
        <is>
          <t>RJ</t>
        </is>
      </c>
    </row>
    <row r="9">
      <c r="A9" s="10" t="n">
        <v>8</v>
      </c>
      <c r="B9" s="10" t="inlineStr">
        <is>
          <t>2026-01-16</t>
        </is>
      </c>
      <c r="C9" s="10" t="inlineStr">
        <is>
          <t>C106</t>
        </is>
      </c>
      <c r="D9" s="11" t="inlineStr">
        <is>
          <t>Fone de Ouvido Noise</t>
        </is>
      </c>
      <c r="E9" s="11" t="inlineStr">
        <is>
          <t>Acessórios</t>
        </is>
      </c>
      <c r="F9" s="12" t="n">
        <v>2</v>
      </c>
      <c r="G9" s="13" t="n">
        <v>950</v>
      </c>
      <c r="H9" s="13" t="n">
        <v>600</v>
      </c>
      <c r="I9" s="13">
        <f>F9*G9</f>
        <v/>
      </c>
      <c r="J9" s="13">
        <f>F9*H9</f>
        <v/>
      </c>
      <c r="K9" s="13">
        <f>I9-J9</f>
        <v/>
      </c>
      <c r="L9" s="10" t="inlineStr">
        <is>
          <t>Online</t>
        </is>
      </c>
      <c r="M9" s="10" t="inlineStr">
        <is>
          <t>RS</t>
        </is>
      </c>
    </row>
    <row r="10">
      <c r="A10" s="6" t="n">
        <v>9</v>
      </c>
      <c r="B10" s="6" t="inlineStr">
        <is>
          <t>2026-01-17</t>
        </is>
      </c>
      <c r="C10" s="6" t="inlineStr">
        <is>
          <t>C103</t>
        </is>
      </c>
      <c r="D10" s="7" t="inlineStr">
        <is>
          <t>Suporte de Monitor</t>
        </is>
      </c>
      <c r="E10" s="7" t="inlineStr">
        <is>
          <t>Acessórios</t>
        </is>
      </c>
      <c r="F10" s="8" t="n">
        <v>4</v>
      </c>
      <c r="G10" s="9" t="n">
        <v>180</v>
      </c>
      <c r="H10" s="9" t="n">
        <v>110</v>
      </c>
      <c r="I10" s="9">
        <f>F10*G10</f>
        <v/>
      </c>
      <c r="J10" s="9">
        <f>F10*H10</f>
        <v/>
      </c>
      <c r="K10" s="9">
        <f>I10-J10</f>
        <v/>
      </c>
      <c r="L10" s="6" t="inlineStr">
        <is>
          <t>Online</t>
        </is>
      </c>
      <c r="M10" s="6" t="inlineStr">
        <is>
          <t>MG</t>
        </is>
      </c>
    </row>
    <row r="11">
      <c r="A11" s="10" t="n">
        <v>10</v>
      </c>
      <c r="B11" s="10" t="inlineStr">
        <is>
          <t>2026-01-18</t>
        </is>
      </c>
      <c r="C11" s="10" t="inlineStr">
        <is>
          <t>C107</t>
        </is>
      </c>
      <c r="D11" s="11" t="inlineStr">
        <is>
          <t>Luminária Inteligente</t>
        </is>
      </c>
      <c r="E11" s="11" t="inlineStr">
        <is>
          <t>Móveis</t>
        </is>
      </c>
      <c r="F11" s="12" t="n">
        <v>3</v>
      </c>
      <c r="G11" s="13" t="n">
        <v>220</v>
      </c>
      <c r="H11" s="13" t="n">
        <v>130</v>
      </c>
      <c r="I11" s="13">
        <f>F11*G11</f>
        <v/>
      </c>
      <c r="J11" s="13">
        <f>F11*H11</f>
        <v/>
      </c>
      <c r="K11" s="13">
        <f>I11-J11</f>
        <v/>
      </c>
      <c r="L11" s="10" t="inlineStr">
        <is>
          <t>Loja Física</t>
        </is>
      </c>
      <c r="M11" s="10" t="inlineStr">
        <is>
          <t>BA</t>
        </is>
      </c>
    </row>
    <row r="12">
      <c r="A12" s="6" t="n">
        <v>11</v>
      </c>
      <c r="B12" s="6" t="inlineStr">
        <is>
          <t>2026-01-19</t>
        </is>
      </c>
      <c r="C12" s="6" t="inlineStr">
        <is>
          <t>C108</t>
        </is>
      </c>
      <c r="D12" s="7" t="inlineStr">
        <is>
          <t>Notebook Pro</t>
        </is>
      </c>
      <c r="E12" s="7" t="inlineStr">
        <is>
          <t>Eletrônicos</t>
        </is>
      </c>
      <c r="F12" s="8" t="n">
        <v>1</v>
      </c>
      <c r="G12" s="9" t="n">
        <v>4500</v>
      </c>
      <c r="H12" s="9" t="n">
        <v>3100</v>
      </c>
      <c r="I12" s="9">
        <f>F12*G12</f>
        <v/>
      </c>
      <c r="J12" s="9">
        <f>F12*H12</f>
        <v/>
      </c>
      <c r="K12" s="9">
        <f>I12-J12</f>
        <v/>
      </c>
      <c r="L12" s="6" t="inlineStr">
        <is>
          <t>Loja Física</t>
        </is>
      </c>
      <c r="M12" s="6" t="inlineStr">
        <is>
          <t>PE</t>
        </is>
      </c>
    </row>
    <row r="13">
      <c r="A13" s="10" t="n">
        <v>12</v>
      </c>
      <c r="B13" s="10" t="inlineStr">
        <is>
          <t>2026-01-20</t>
        </is>
      </c>
      <c r="C13" s="10" t="inlineStr">
        <is>
          <t>C101</t>
        </is>
      </c>
      <c r="D13" s="11" t="inlineStr">
        <is>
          <t>Mouse Sem Fio</t>
        </is>
      </c>
      <c r="E13" s="11" t="inlineStr">
        <is>
          <t>Acessórios</t>
        </is>
      </c>
      <c r="F13" s="12" t="n">
        <v>2</v>
      </c>
      <c r="G13" s="13" t="n">
        <v>150</v>
      </c>
      <c r="H13" s="13" t="n">
        <v>80</v>
      </c>
      <c r="I13" s="13">
        <f>F13*G13</f>
        <v/>
      </c>
      <c r="J13" s="13">
        <f>F13*H13</f>
        <v/>
      </c>
      <c r="K13" s="13">
        <f>I13-J13</f>
        <v/>
      </c>
      <c r="L13" s="10" t="inlineStr">
        <is>
          <t>Online</t>
        </is>
      </c>
      <c r="M13" s="10" t="inlineStr">
        <is>
          <t>SP</t>
        </is>
      </c>
    </row>
    <row r="14">
      <c r="A14" s="6" t="n">
        <v>13</v>
      </c>
      <c r="B14" s="6" t="inlineStr">
        <is>
          <t>2026-01-20</t>
        </is>
      </c>
      <c r="C14" s="6" t="inlineStr">
        <is>
          <t>C104</t>
        </is>
      </c>
      <c r="D14" s="7" t="inlineStr">
        <is>
          <t>Cadeira Ergonômica</t>
        </is>
      </c>
      <c r="E14" s="7" t="inlineStr">
        <is>
          <t>Móveis</t>
        </is>
      </c>
      <c r="F14" s="8" t="n">
        <v>1</v>
      </c>
      <c r="G14" s="9" t="n">
        <v>850</v>
      </c>
      <c r="H14" s="9" t="n">
        <v>550</v>
      </c>
      <c r="I14" s="9">
        <f>F14*G14</f>
        <v/>
      </c>
      <c r="J14" s="9">
        <f>F14*H14</f>
        <v/>
      </c>
      <c r="K14" s="9">
        <f>I14-J14</f>
        <v/>
      </c>
      <c r="L14" s="6" t="inlineStr">
        <is>
          <t>Loja Física</t>
        </is>
      </c>
      <c r="M14" s="6" t="inlineStr">
        <is>
          <t>PR</t>
        </is>
      </c>
    </row>
    <row r="15">
      <c r="A15" s="10" t="n">
        <v>14</v>
      </c>
      <c r="B15" s="10" t="inlineStr">
        <is>
          <t>2026-01-21</t>
        </is>
      </c>
      <c r="C15" s="10" t="inlineStr">
        <is>
          <t>C109</t>
        </is>
      </c>
      <c r="D15" s="11" t="inlineStr">
        <is>
          <t>Smartphone X</t>
        </is>
      </c>
      <c r="E15" s="11" t="inlineStr">
        <is>
          <t>Eletrônicos</t>
        </is>
      </c>
      <c r="F15" s="12" t="n">
        <v>1</v>
      </c>
      <c r="G15" s="13" t="n">
        <v>2500</v>
      </c>
      <c r="H15" s="13" t="n">
        <v>1700</v>
      </c>
      <c r="I15" s="13">
        <f>F15*G15</f>
        <v/>
      </c>
      <c r="J15" s="13">
        <f>F15*H15</f>
        <v/>
      </c>
      <c r="K15" s="13">
        <f>I15-J15</f>
        <v/>
      </c>
      <c r="L15" s="10" t="inlineStr">
        <is>
          <t>Online</t>
        </is>
      </c>
      <c r="M15" s="10" t="inlineStr">
        <is>
          <t>CE</t>
        </is>
      </c>
    </row>
    <row r="16">
      <c r="A16" s="6" t="n">
        <v>15</v>
      </c>
      <c r="B16" s="6" t="inlineStr">
        <is>
          <t>2026-01-22</t>
        </is>
      </c>
      <c r="C16" s="6" t="inlineStr">
        <is>
          <t>C105</t>
        </is>
      </c>
      <c r="D16" s="7" t="inlineStr">
        <is>
          <t>Teclado Mecânico</t>
        </is>
      </c>
      <c r="E16" s="7" t="inlineStr">
        <is>
          <t>Acessórios</t>
        </is>
      </c>
      <c r="F16" s="8" t="n">
        <v>2</v>
      </c>
      <c r="G16" s="9" t="n">
        <v>350</v>
      </c>
      <c r="H16" s="9" t="n">
        <v>200</v>
      </c>
      <c r="I16" s="9">
        <f>F16*G16</f>
        <v/>
      </c>
      <c r="J16" s="9">
        <f>F16*H16</f>
        <v/>
      </c>
      <c r="K16" s="9">
        <f>I16-J16</f>
        <v/>
      </c>
      <c r="L16" s="6" t="inlineStr">
        <is>
          <t>Online</t>
        </is>
      </c>
      <c r="M16" s="6" t="inlineStr">
        <is>
          <t>SC</t>
        </is>
      </c>
    </row>
    <row r="17">
      <c r="A17" s="14" t="inlineStr">
        <is>
          <t>Total</t>
        </is>
      </c>
      <c r="B17" s="15" t="n"/>
      <c r="C17" s="15" t="n"/>
      <c r="D17" s="15" t="n"/>
      <c r="E17" s="15" t="n"/>
      <c r="F17" s="16">
        <f>SUM(F2:F16)</f>
        <v/>
      </c>
      <c r="G17" s="15" t="n"/>
      <c r="H17" s="15" t="n"/>
      <c r="I17" s="17">
        <f>SUM(I2:I16)</f>
        <v/>
      </c>
      <c r="J17" s="17">
        <f>SUM(J2:J16)</f>
        <v/>
      </c>
      <c r="K17" s="17">
        <f>SUM(K2:K16)</f>
        <v/>
      </c>
      <c r="L17" s="15" t="n"/>
      <c r="M17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2026-07-17T03:59:29Z</dcterms:created>
  <dcterms:modified xmlns:dcterms="http://purl.org/dc/terms/" xmlns:xsi="http://www.w3.org/2001/XMLSchema-instance" xsi:type="dcterms:W3CDTF">2026-07-17T03:59:29Z</dcterms:modified>
</cp:coreProperties>
</file>